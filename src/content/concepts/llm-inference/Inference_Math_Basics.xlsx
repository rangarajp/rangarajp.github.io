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ndur\rangarajp.github.io-1\src\content\concepts\llm-inference\"/>
    </mc:Choice>
  </mc:AlternateContent>
  <xr:revisionPtr revIDLastSave="0" documentId="8_{4A65AAD8-7F55-4F81-915C-F081ADD3A9F1}" xr6:coauthVersionLast="47" xr6:coauthVersionMax="47" xr10:uidLastSave="{00000000-0000-0000-0000-000000000000}"/>
  <bookViews>
    <workbookView xWindow="-108" yWindow="-108" windowWidth="23256" windowHeight="12456" xr2:uid="{CB0FD93D-2793-47EF-8743-F5AB92F4C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1" i="1" l="1"/>
  <c r="N11" i="1" s="1"/>
  <c r="L3" i="1"/>
  <c r="D17" i="1"/>
  <c r="B3" i="1"/>
  <c r="G3" i="1"/>
  <c r="H11" i="1"/>
  <c r="I11" i="1" s="1"/>
  <c r="H10" i="1"/>
  <c r="I10" i="1" s="1"/>
  <c r="H7" i="1"/>
  <c r="I7" i="1" s="1"/>
  <c r="C11" i="1"/>
  <c r="D11" i="1" s="1"/>
  <c r="C7" i="1"/>
  <c r="D7" i="1" s="1"/>
  <c r="C10" i="1"/>
  <c r="D10" i="1" s="1"/>
  <c r="I12" i="1" l="1"/>
  <c r="I14" i="1"/>
  <c r="D12" i="1"/>
  <c r="D14" i="1" s="1"/>
</calcChain>
</file>

<file path=xl/sharedStrings.xml><?xml version="1.0" encoding="utf-8"?>
<sst xmlns="http://schemas.openxmlformats.org/spreadsheetml/2006/main" count="72" uniqueCount="26">
  <si>
    <t>B</t>
  </si>
  <si>
    <t>AI</t>
  </si>
  <si>
    <t>X</t>
  </si>
  <si>
    <t>Y</t>
  </si>
  <si>
    <t>Z</t>
  </si>
  <si>
    <t>X@Y</t>
  </si>
  <si>
    <t>FLOPS</t>
  </si>
  <si>
    <t>2BDF</t>
  </si>
  <si>
    <t>GFLOPS</t>
  </si>
  <si>
    <t>X Bytes</t>
  </si>
  <si>
    <t>Forumla</t>
  </si>
  <si>
    <t>Compute</t>
  </si>
  <si>
    <t>Memory</t>
  </si>
  <si>
    <t>MB</t>
  </si>
  <si>
    <t>Y Bytes</t>
  </si>
  <si>
    <t>2DF</t>
  </si>
  <si>
    <t>Total</t>
  </si>
  <si>
    <t>Arithmetic Intensity</t>
  </si>
  <si>
    <t>2BD</t>
  </si>
  <si>
    <t>H100 AI</t>
  </si>
  <si>
    <t>TFLOPS/s</t>
  </si>
  <si>
    <t>TB/s</t>
  </si>
  <si>
    <t>Memory Bound</t>
  </si>
  <si>
    <t>2BD + 2DF</t>
  </si>
  <si>
    <t>2BDF / (2BD+2DF)</t>
  </si>
  <si>
    <t>4096B/(B + 4096)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</si>
</sst>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@Y" TargetMode="External"/><Relationship Id="rId2" Type="http://schemas.openxmlformats.org/officeDocument/2006/relationships/hyperlink" Target="mailto:X@Y" TargetMode="External"/><Relationship Id="rId1" Type="http://schemas.openxmlformats.org/officeDocument/2006/relationships/hyperlink" Target="mailto:X@Y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AFCA-005A-40F4-82E7-FDBB76175F57}">
  <dimension ref="A1:N18"/>
  <sheetViews>
    <sheetView tabSelected="1" workbookViewId="0">
      <selection activeCell="N7" sqref="N7"/>
    </sheetView>
  </sheetViews>
  <sheetFormatPr defaultRowHeight="14.4" x14ac:dyDescent="0.3"/>
  <cols>
    <col min="1" max="1" width="16.44140625" bestFit="1" customWidth="1"/>
    <col min="2" max="3" width="11" bestFit="1" customWidth="1"/>
    <col min="4" max="4" width="12.88671875" bestFit="1" customWidth="1"/>
    <col min="6" max="6" width="16.44140625" bestFit="1" customWidth="1"/>
    <col min="7" max="7" width="11" bestFit="1" customWidth="1"/>
    <col min="9" max="9" width="13.88671875" bestFit="1" customWidth="1"/>
    <col min="14" max="14" width="24.6640625" bestFit="1" customWidth="1"/>
  </cols>
  <sheetData>
    <row r="1" spans="1:14" x14ac:dyDescent="0.3">
      <c r="A1" s="1" t="s">
        <v>2</v>
      </c>
      <c r="B1" s="1">
        <v>32</v>
      </c>
      <c r="C1" s="1">
        <v>4096</v>
      </c>
      <c r="D1" s="1"/>
      <c r="E1" s="1"/>
      <c r="F1" s="1" t="s">
        <v>2</v>
      </c>
      <c r="G1" s="1">
        <v>256</v>
      </c>
      <c r="H1" s="1">
        <v>4096</v>
      </c>
      <c r="I1" s="1"/>
      <c r="K1" s="1" t="s">
        <v>2</v>
      </c>
      <c r="L1" s="1" t="s">
        <v>0</v>
      </c>
      <c r="M1" s="1">
        <v>4096</v>
      </c>
      <c r="N1" s="1"/>
    </row>
    <row r="2" spans="1:14" x14ac:dyDescent="0.3">
      <c r="A2" s="1" t="s">
        <v>3</v>
      </c>
      <c r="B2" s="1">
        <v>4096</v>
      </c>
      <c r="C2" s="1">
        <v>4096</v>
      </c>
      <c r="D2" s="1"/>
      <c r="E2" s="1"/>
      <c r="F2" s="1" t="s">
        <v>3</v>
      </c>
      <c r="G2" s="1">
        <v>4096</v>
      </c>
      <c r="H2" s="1">
        <v>4096</v>
      </c>
      <c r="I2" s="1"/>
      <c r="K2" s="1" t="s">
        <v>3</v>
      </c>
      <c r="L2" s="1">
        <v>4096</v>
      </c>
      <c r="M2" s="1">
        <v>4096</v>
      </c>
      <c r="N2" s="1"/>
    </row>
    <row r="3" spans="1:14" x14ac:dyDescent="0.3">
      <c r="A3" s="1" t="s">
        <v>4</v>
      </c>
      <c r="B3" s="1">
        <f>B1</f>
        <v>32</v>
      </c>
      <c r="C3" s="1">
        <v>4096</v>
      </c>
      <c r="D3" s="1"/>
      <c r="E3" s="1"/>
      <c r="F3" s="1" t="s">
        <v>4</v>
      </c>
      <c r="G3" s="1">
        <f>G1</f>
        <v>256</v>
      </c>
      <c r="H3" s="1">
        <v>4096</v>
      </c>
      <c r="I3" s="1"/>
      <c r="K3" s="1" t="s">
        <v>4</v>
      </c>
      <c r="L3" s="1" t="str">
        <f>L1</f>
        <v>B</v>
      </c>
      <c r="M3" s="1">
        <v>4096</v>
      </c>
      <c r="N3" s="1"/>
    </row>
    <row r="4" spans="1:14" x14ac:dyDescent="0.3">
      <c r="A4" s="1" t="s">
        <v>4</v>
      </c>
      <c r="B4" s="2" t="s">
        <v>5</v>
      </c>
      <c r="C4" s="1"/>
      <c r="D4" s="1"/>
      <c r="E4" s="1"/>
      <c r="F4" s="1" t="s">
        <v>4</v>
      </c>
      <c r="G4" s="2" t="s">
        <v>5</v>
      </c>
      <c r="H4" s="1"/>
      <c r="I4" s="1"/>
      <c r="K4" s="1" t="s">
        <v>4</v>
      </c>
      <c r="L4" s="2" t="s">
        <v>5</v>
      </c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K5" s="1"/>
      <c r="L5" s="1"/>
      <c r="M5" s="1"/>
      <c r="N5" s="1"/>
    </row>
    <row r="6" spans="1:14" x14ac:dyDescent="0.3">
      <c r="A6" s="1" t="s">
        <v>11</v>
      </c>
      <c r="B6" s="1" t="s">
        <v>10</v>
      </c>
      <c r="C6" s="1" t="s">
        <v>6</v>
      </c>
      <c r="D6" s="1" t="s">
        <v>8</v>
      </c>
      <c r="E6" s="1"/>
      <c r="F6" s="1" t="s">
        <v>11</v>
      </c>
      <c r="G6" s="1" t="s">
        <v>10</v>
      </c>
      <c r="H6" s="1" t="s">
        <v>6</v>
      </c>
      <c r="I6" s="1" t="s">
        <v>8</v>
      </c>
      <c r="K6" s="1" t="s">
        <v>11</v>
      </c>
      <c r="L6" s="1" t="s">
        <v>10</v>
      </c>
      <c r="M6" s="1" t="s">
        <v>6</v>
      </c>
      <c r="N6" s="1" t="s">
        <v>8</v>
      </c>
    </row>
    <row r="7" spans="1:14" x14ac:dyDescent="0.3">
      <c r="A7" s="1" t="s">
        <v>6</v>
      </c>
      <c r="B7" s="1" t="s">
        <v>7</v>
      </c>
      <c r="C7" s="1">
        <f>2*B1*B2*C3</f>
        <v>1073741824</v>
      </c>
      <c r="D7" s="1">
        <f>C7/1000000000</f>
        <v>1.0737418240000001</v>
      </c>
      <c r="E7" s="1"/>
      <c r="F7" s="1" t="s">
        <v>6</v>
      </c>
      <c r="G7" s="1" t="s">
        <v>7</v>
      </c>
      <c r="H7" s="1">
        <f>2*G1*G2*H3</f>
        <v>8589934592</v>
      </c>
      <c r="I7" s="1">
        <f>H7/1000000000</f>
        <v>8.5899345920000005</v>
      </c>
      <c r="K7" s="1" t="s">
        <v>6</v>
      </c>
      <c r="L7" s="1" t="s">
        <v>7</v>
      </c>
      <c r="M7" s="1" t="s">
        <v>7</v>
      </c>
      <c r="N7" s="1" t="s">
        <v>7</v>
      </c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K8" s="1"/>
      <c r="L8" s="1"/>
      <c r="M8" s="1"/>
      <c r="N8" s="1"/>
    </row>
    <row r="9" spans="1:14" x14ac:dyDescent="0.3">
      <c r="A9" s="1" t="s">
        <v>12</v>
      </c>
      <c r="B9" s="1"/>
      <c r="C9" s="1"/>
      <c r="D9" s="1" t="s">
        <v>13</v>
      </c>
      <c r="E9" s="1"/>
      <c r="F9" s="1" t="s">
        <v>12</v>
      </c>
      <c r="G9" s="1"/>
      <c r="H9" s="1"/>
      <c r="I9" s="1" t="s">
        <v>13</v>
      </c>
      <c r="K9" s="1" t="s">
        <v>12</v>
      </c>
      <c r="L9" s="1"/>
      <c r="M9" s="1"/>
      <c r="N9" s="1" t="s">
        <v>13</v>
      </c>
    </row>
    <row r="10" spans="1:14" x14ac:dyDescent="0.3">
      <c r="A10" s="1" t="s">
        <v>9</v>
      </c>
      <c r="B10" s="1" t="s">
        <v>18</v>
      </c>
      <c r="C10" s="1">
        <f>2*B1*C1</f>
        <v>262144</v>
      </c>
      <c r="D10" s="1">
        <f>C10/1000000</f>
        <v>0.26214399999999999</v>
      </c>
      <c r="E10" s="1"/>
      <c r="F10" s="1" t="s">
        <v>9</v>
      </c>
      <c r="G10" s="1" t="s">
        <v>18</v>
      </c>
      <c r="H10" s="1">
        <f>2*G1*H1</f>
        <v>2097152</v>
      </c>
      <c r="I10" s="1">
        <f>H10/1000000</f>
        <v>2.0971519999999999</v>
      </c>
      <c r="K10" s="1" t="s">
        <v>9</v>
      </c>
      <c r="L10" s="1" t="s">
        <v>18</v>
      </c>
      <c r="M10" s="1" t="s">
        <v>18</v>
      </c>
      <c r="N10" s="1" t="s">
        <v>18</v>
      </c>
    </row>
    <row r="11" spans="1:14" x14ac:dyDescent="0.3">
      <c r="A11" s="1" t="s">
        <v>14</v>
      </c>
      <c r="B11" s="1" t="s">
        <v>15</v>
      </c>
      <c r="C11" s="1">
        <f>2*B2*C2</f>
        <v>33554432</v>
      </c>
      <c r="D11" s="1">
        <f>C11/1000000</f>
        <v>33.554431999999998</v>
      </c>
      <c r="E11" s="1"/>
      <c r="F11" s="1" t="s">
        <v>14</v>
      </c>
      <c r="G11" s="1" t="s">
        <v>15</v>
      </c>
      <c r="H11" s="1">
        <f>2*G2*H2</f>
        <v>33554432</v>
      </c>
      <c r="I11" s="1">
        <f>H11/1000000</f>
        <v>33.554431999999998</v>
      </c>
      <c r="K11" s="1" t="s">
        <v>14</v>
      </c>
      <c r="L11" s="1" t="s">
        <v>15</v>
      </c>
      <c r="M11" s="1">
        <f>2*L2*M2</f>
        <v>33554432</v>
      </c>
      <c r="N11" s="1">
        <f>M11/1000000</f>
        <v>33.554431999999998</v>
      </c>
    </row>
    <row r="12" spans="1:14" x14ac:dyDescent="0.3">
      <c r="A12" s="1" t="s">
        <v>16</v>
      </c>
      <c r="B12" s="1"/>
      <c r="C12" s="1"/>
      <c r="D12" s="1">
        <f>SUM(D10:D11)</f>
        <v>33.816575999999998</v>
      </c>
      <c r="E12" s="1"/>
      <c r="F12" s="1" t="s">
        <v>16</v>
      </c>
      <c r="G12" s="1"/>
      <c r="H12" s="1"/>
      <c r="I12" s="1">
        <f>SUM(I10:I11)</f>
        <v>35.651584</v>
      </c>
      <c r="K12" s="1" t="s">
        <v>16</v>
      </c>
      <c r="L12" s="1"/>
      <c r="M12" s="1"/>
      <c r="N12" s="1" t="s">
        <v>23</v>
      </c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</row>
    <row r="14" spans="1:14" x14ac:dyDescent="0.3">
      <c r="A14" s="1" t="s">
        <v>17</v>
      </c>
      <c r="B14" s="1"/>
      <c r="C14" s="1"/>
      <c r="D14" s="1">
        <f>D7/D12/0.001</f>
        <v>31.751937984496131</v>
      </c>
      <c r="E14" s="1"/>
      <c r="F14" s="1" t="s">
        <v>17</v>
      </c>
      <c r="G14" s="1"/>
      <c r="H14" s="1"/>
      <c r="I14" s="1">
        <f>I7/I12/0.001</f>
        <v>240.94117647058823</v>
      </c>
      <c r="K14" s="1" t="s">
        <v>17</v>
      </c>
      <c r="L14" s="1"/>
      <c r="M14" s="1"/>
      <c r="N14" s="1" t="s">
        <v>24</v>
      </c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K15" s="1"/>
      <c r="N15" s="1" t="s">
        <v>25</v>
      </c>
    </row>
    <row r="16" spans="1:14" x14ac:dyDescent="0.3">
      <c r="A16" s="1" t="s">
        <v>19</v>
      </c>
      <c r="B16" s="1" t="s">
        <v>20</v>
      </c>
      <c r="C16" s="1" t="s">
        <v>21</v>
      </c>
      <c r="D16" s="1" t="s">
        <v>1</v>
      </c>
      <c r="E16" s="1"/>
      <c r="F16" s="1"/>
      <c r="G16" s="1"/>
      <c r="H16" s="1"/>
      <c r="I16" s="1"/>
      <c r="N16" s="1" t="s">
        <v>0</v>
      </c>
    </row>
    <row r="17" spans="2:9" x14ac:dyDescent="0.3">
      <c r="B17" s="1">
        <v>989</v>
      </c>
      <c r="C17" s="1">
        <v>3.35</v>
      </c>
      <c r="D17" s="1">
        <f>B17/C17</f>
        <v>295.2238805970149</v>
      </c>
      <c r="E17" s="1"/>
      <c r="F17" s="1"/>
      <c r="G17" s="1"/>
      <c r="H17" s="1"/>
      <c r="I17" s="1"/>
    </row>
    <row r="18" spans="2:9" x14ac:dyDescent="0.3">
      <c r="D18" t="s">
        <v>22</v>
      </c>
      <c r="I18" t="s">
        <v>22</v>
      </c>
    </row>
  </sheetData>
  <hyperlinks>
    <hyperlink ref="B4" r:id="rId1" xr:uid="{756B44B1-8E16-4195-8F47-8937FCEE8D6E}"/>
    <hyperlink ref="G4" r:id="rId2" xr:uid="{F00CFEBB-3AF3-44D1-893B-575903FED487}"/>
    <hyperlink ref="L4" r:id="rId3" xr:uid="{AE1B4261-4A07-475D-8719-4E8E9C6D722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Pandurangan, Rangaraj (623)</dc:creator>
  <cp:lastModifiedBy>Pandurangan, Rangaraj (623)</cp:lastModifiedBy>
  <dcterms:created xsi:type="dcterms:W3CDTF">2026-09-20T13:30:34Z</dcterms:created>
  <dcterms:modified xsi:type="dcterms:W3CDTF">2026-09-20T14:52:21Z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2026-09-20T14:51:31Z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90777f05-bdd7-44f9-aacf-486f13569d2a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